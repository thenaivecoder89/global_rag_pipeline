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e957e2d7b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0e641812c54237"/>
    <x:sheet xmlns:r="http://schemas.openxmlformats.org/officeDocument/2006/relationships" name="Assumptions" sheetId="2" r:id="R0be14c9c99384464"/>
    <x:sheet xmlns:r="http://schemas.openxmlformats.org/officeDocument/2006/relationships" name="Revenue Projection" sheetId="3" r:id="R2f745c0e8585460b"/>
    <x:sheet xmlns:r="http://schemas.openxmlformats.org/officeDocument/2006/relationships" name="Project Costs" sheetId="4" r:id="R483e73c5fa4a4d6f"/>
    <x:sheet xmlns:r="http://schemas.openxmlformats.org/officeDocument/2006/relationships" name="Sensitivities" sheetId="5" r:id="Rc33978cbc422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;[Red]($#,##0.00);-"/>
  </x:numFmts>
  <x:fonts count="6">
    <x:font>
      <x:sz val="11"/>
      <x:name val="Carlito"/>
    </x:font>
    <x:font>
      <x:b/>
      <x:sz val="18"/>
      <x:color rgb="FFFFFF"/>
      <x:name val="Carlito"/>
    </x:font>
    <x:font>
      <x:b/>
      <x:sz val="11"/>
      <x:color rgb="C00000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b/>
      <x:sz val="16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6365C"/>
      </x:patternFill>
    </x:fill>
    <x:fill>
      <x:patternFill patternType="solid">
        <x:fgColor rgb="FCE4D6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C00000"/>
      </x:font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ont>
        <x:b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82029b3e64e7c" /><Relationship Type="http://schemas.openxmlformats.org/officeDocument/2006/relationships/theme" Target="/xl/theme/theme1.xml" Id="R16a80ca2ec364480" /><Relationship Type="http://schemas.openxmlformats.org/officeDocument/2006/relationships/sharedStrings" Target="/xl/sharedStrings.xml" Id="R46e969d94f3c49fd" /><Relationship Type="http://schemas.openxmlformats.org/officeDocument/2006/relationships/worksheet" Target="/xl/worksheets/sheet1.xml" Id="R850e641812c54237" /><Relationship Type="http://schemas.openxmlformats.org/officeDocument/2006/relationships/worksheet" Target="/xl/worksheets/sheet2.xml" Id="R0be14c9c99384464" /><Relationship Type="http://schemas.openxmlformats.org/officeDocument/2006/relationships/worksheet" Target="/xl/worksheets/sheet3.xml" Id="R2f745c0e8585460b" /><Relationship Type="http://schemas.openxmlformats.org/officeDocument/2006/relationships/worksheet" Target="/xl/worksheets/sheet4.xml" Id="R483e73c5fa4a4d6f" /><Relationship Type="http://schemas.openxmlformats.org/officeDocument/2006/relationships/worksheet" Target="/xl/worksheets/sheet5.xml" Id="Rc33978cbc42240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129b9321e14a4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be85df8756541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EBITDA Projection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Operating_Fraction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Projection'!$B$4:$B$16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Generation_MWh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Projection'!$C$4:$C$16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PPA_Price_USD_MWh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Projection'!$D$4:$D$16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Merchant_Price_USD_MWh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Projection'!$E$4:$E$16</c:f>
              <c:numCache>
                <c:formatCode/>
                <c:ptCount val="0"/>
              </c:numCache>
            </c:numRef>
          </c:val>
          <c:smooth val="0"/>
        </c:ser>
        <c:ser>
          <c:idx val="4"/>
          <c:order val="4"/>
          <c:tx>
            <c:v>Contracted_Revenue_USD_mn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Projection'!$F$4:$F$16</c:f>
              <c:numCache>
                <c:formatCode/>
                <c:ptCount val="0"/>
              </c:numCache>
            </c:numRef>
          </c:val>
          <c:smooth val="0"/>
        </c:ser>
        <c:ser>
          <c:idx val="5"/>
          <c:order val="5"/>
          <c:tx>
            <c:v>Merchant_Revenue_USD_mn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Projection'!$G$4:$G$16</c:f>
              <c:numCache>
                <c:formatCode/>
                <c:ptCount val="0"/>
              </c:numCache>
            </c:numRef>
          </c:val>
          <c:smooth val="0"/>
        </c:ser>
        <c:ser>
          <c:idx val="6"/>
          <c:order val="6"/>
          <c:tx>
            <c:v>BESS_Revenue_USD_mn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Projection'!$H$4:$H$16</c:f>
              <c:numCache>
                <c:formatCode/>
                <c:ptCount val="0"/>
              </c:numCache>
            </c:numRef>
          </c:val>
          <c:smooth val="0"/>
        </c:ser>
        <c:ser>
          <c:idx val="7"/>
          <c:order val="7"/>
          <c:tx>
            <c:v>Total_Revenue_USD_mn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Projection'!$I$4:$I$16</c:f>
              <c:numCache>
                <c:formatCode/>
                <c:ptCount val="0"/>
              </c:numCache>
            </c:numRef>
          </c:val>
          <c:smooth val="0"/>
        </c:ser>
        <c:ser>
          <c:idx val="8"/>
          <c:order val="8"/>
          <c:tx>
            <c:v>Operating_Cost_USD_mn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Projection'!$J$4:$J$16</c:f>
              <c:numCache>
                <c:formatCode/>
                <c:ptCount val="0"/>
              </c:numCache>
            </c:numRef>
          </c:val>
          <c:smooth val="0"/>
        </c:ser>
        <c:ser>
          <c:idx val="9"/>
          <c:order val="9"/>
          <c:tx>
            <c:v>EBITDA_USD_mn</c:v>
          </c:tx>
          <c:cat>
            <c:strRef>
              <c:f>'Revenue Projection'!$A$4:$A$16</c:f>
              <c:strCache>
                <c:ptCount val="0"/>
              </c:strCache>
            </c:strRef>
          </c:cat>
          <c:val>
            <c:numRef>
              <c:f>'Revenue Projection'!$K$4:$K$16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 Cost by Category (USD mn)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Description</c:v>
          </c:tx>
          <c:cat>
            <c:strRef>
              <c:f>'Project Costs'!$B$4:$B$20</c:f>
              <c:strCache>
                <c:ptCount val="0"/>
              </c:strCache>
            </c:strRef>
          </c:cat>
          <c:val>
            <c:numRef>
              <c:f>'Project Costs'!$C$4:$C$20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Cost_Group</c:v>
          </c:tx>
          <c:cat>
            <c:strRef>
              <c:f>'Project Costs'!$B$4:$B$20</c:f>
              <c:strCache>
                <c:ptCount val="0"/>
              </c:strCache>
            </c:strRef>
          </c:cat>
          <c:val>
            <c:numRef>
              <c:f>'Project Costs'!$D$4:$D$20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Amount_USD_mn</c:v>
          </c:tx>
          <c:cat>
            <c:strRef>
              <c:f>'Project Costs'!$B$4:$B$20</c:f>
              <c:strCache>
                <c:ptCount val="0"/>
              </c:strCache>
            </c:strRef>
          </c:cat>
          <c:val>
            <c:numRef>
              <c:f>'Project Costs'!$E$4:$E$20</c:f>
              <c:numCache>
                <c:formatCode>$#,##0.00;[Red]($#,##0.00);-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129b9321e14a4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e85df87565418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umptionsTable" displayName="AssumptionsTable" ref="A3:G25" headerRowCount="1">
  <x:tableColumns count="7">
    <x:tableColumn id="1" name="Section"/>
    <x:tableColumn id="2" name="Metric"/>
    <x:tableColumn id="3" name="Value"/>
    <x:tableColumn id="4" name="Unit"/>
    <x:tableColumn id="5" name="Input_Type"/>
    <x:tableColumn id="6" name="Synthetic_Flag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venueProjectionTable" displayName="RevenueProjectionTable" ref="A3:K16" headerRowCount="1">
  <x:tableColumns count="11">
    <x:tableColumn id="1" name="Year"/>
    <x:tableColumn id="2" name="Operating_Fraction"/>
    <x:tableColumn id="3" name="Generation_MWh"/>
    <x:tableColumn id="4" name="PPA_Price_USD_MWh"/>
    <x:tableColumn id="5" name="Merchant_Price_USD_MWh"/>
    <x:tableColumn id="6" name="Contracted_Revenue_USD_mn"/>
    <x:tableColumn id="7" name="Merchant_Revenue_USD_mn"/>
    <x:tableColumn id="8" name="BESS_Revenue_USD_mn"/>
    <x:tableColumn id="9" name="Total_Revenue_USD_mn"/>
    <x:tableColumn id="10" name="Operating_Cost_USD_mn"/>
    <x:tableColumn id="11" name="EBITDA_USD_mn"/>
  </x:tableColumns>
  <x:tableStyleInfo name="TableStyleMedium2" showRowStripes="1"/>
</x:table>
</file>

<file path=xl/tables/table3.xml><?xml version="1.0" encoding="utf-8"?>
<x:table xmlns:x="http://schemas.openxmlformats.org/spreadsheetml/2006/main" id="3" name="ProjectCostsTable" displayName="ProjectCostsTable" ref="A3:K20" headerRowCount="1">
  <x:tableColumns count="11">
    <x:tableColumn id="1" name="Cost_Line_ID"/>
    <x:tableColumn id="2" name="Cost_Category"/>
    <x:tableColumn id="3" name="Description"/>
    <x:tableColumn id="4" name="Cost_Group"/>
    <x:tableColumn id="5" name="Amount_USD_mn"/>
    <x:tableColumn id="6" name="Cost_per_MW_USD_mn"/>
    <x:tableColumn id="7" name="Pct_of_Total"/>
    <x:tableColumn id="8" name="Duplicate_Group_ID"/>
    <x:tableColumn id="9" name="Potential_Duplicate"/>
    <x:tableColumn id="10" name="Benchmark_Position"/>
    <x:tableColumn id="11" name="Synthetic_Flag"/>
  </x:tableColumns>
  <x:tableStyleInfo name="TableStyleMedium2" showRowStripes="1"/>
</x:table>
</file>

<file path=xl/tables/table4.xml><?xml version="1.0" encoding="utf-8"?>
<x:table xmlns:x="http://schemas.openxmlformats.org/spreadsheetml/2006/main" id="4" name="SensitivityTable" displayName="SensitivityTable" ref="A3:I11" headerRowCount="1">
  <x:tableColumns count="9">
    <x:tableColumn id="1" name="Scenario"/>
    <x:tableColumn id="2" name="Power_Price_Change_pct"/>
    <x:tableColumn id="3" name="Generation_Change_pct"/>
    <x:tableColumn id="4" name="Capex_Change_pct"/>
    <x:tableColumn id="5" name="COD_Delay_Months"/>
    <x:tableColumn id="6" name="FX_Change_pct"/>
    <x:tableColumn id="7" name="Equity_IRR_pct"/>
    <x:tableColumn id="8" name="Min_DSCR_x"/>
    <x:tableColumn id="9" name="Included_In_Submis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eb2dfeac8742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802f055c0a5459f" /><Relationship Type="http://schemas.openxmlformats.org/officeDocument/2006/relationships/table" Target="/xl/tables/table2.xml" Id="R4d9acd42e2564f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2058fa486e154727" /><Relationship Type="http://schemas.openxmlformats.org/officeDocument/2006/relationships/table" Target="/xl/tables/table3.xml" Id="R4a4693b46a3646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34f078b4db498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16" hidden="0" customWidth="1"/>
    <x:col min="4" max="4" width="40" hidden="0" customWidth="1"/>
  </x:cols>
  <x:sheetData>
    <x:row r="1" ht="32" customHeight="1">
      <x:c r="A1" s="4" t="str">
        <x:v>PROJECT HELIOS - SYNTHETIC FINANCIAL ASSUMPTIONS</x:v>
      </x:c>
    </x:row>
    <x:row r="2">
      <x:c r="A2" s="9" t="str">
        <x:v>Synthetic POC data only - not for investment decision</x:v>
      </x:c>
    </x:row>
    <x:row r="4">
      <x:c r="A4" s="16" t="str">
        <x:v>Metric</x:v>
      </x:c>
      <x:c r="B4" s="16" t="str">
        <x:v>Value</x:v>
      </x:c>
      <x:c r="C4" s="16" t="str">
        <x:v>Unit</x:v>
      </x:c>
      <x:c r="D4" s="16" t="str">
        <x:v>Cross-document note</x:v>
      </x:c>
    </x:row>
    <x:row r="5">
      <x:c r="A5" s="17" t="str">
        <x:v>Solar capacity</x:v>
      </x:c>
      <x:c r="B5" s="20" t="n">
        <x:v>250</x:v>
      </x:c>
      <x:c r="C5" s="17" t="str">
        <x:v>MWac</x:v>
      </x:c>
      <x:c r="D5" s="17" t="str">
        <x:v>Consistent with deck and memo</x:v>
      </x:c>
    </x:row>
    <x:row r="6">
      <x:c r="A6" s="17" t="str">
        <x:v>BESS capacity</x:v>
      </x:c>
      <x:c r="B6" s="20" t="n">
        <x:v>100</x:v>
      </x:c>
      <x:c r="C6" s="17" t="str">
        <x:v>MW / 200 MWh</x:v>
      </x:c>
      <x:c r="D6" s="17" t="str">
        <x:v>Consistent</x:v>
      </x:c>
    </x:row>
    <x:row r="7">
      <x:c r="A7" s="17" t="str">
        <x:v>Total project cost</x:v>
      </x:c>
      <x:c r="B7" s="20" t="n">
        <x:v>289</x:v>
      </x:c>
      <x:c r="C7" s="17" t="str">
        <x:v>USD mn</x:v>
      </x:c>
      <x:c r="D7" s="17" t="str">
        <x:v>Deck 285; memo 292</x:v>
      </x:c>
    </x:row>
    <x:row r="8">
      <x:c r="A8" s="17" t="str">
        <x:v>Equity IRR</x:v>
      </x:c>
      <x:c r="B8" s="20" t="n">
        <x:v>13.9</x:v>
      </x:c>
      <x:c r="C8" s="17" t="str">
        <x:v>%</x:v>
      </x:c>
      <x:c r="D8" s="17" t="str">
        <x:v>Deck 14.6%; memo 14.2%</x:v>
      </x:c>
    </x:row>
    <x:row r="9">
      <x:c r="A9" s="17" t="str">
        <x:v>Project IRR</x:v>
      </x:c>
      <x:c r="B9" s="20" t="n">
        <x:v>10.1</x:v>
      </x:c>
      <x:c r="C9" s="17" t="str">
        <x:v>%</x:v>
      </x:c>
      <x:c r="D9" s="17" t="str">
        <x:v>Deck 10.4%; memo 10.3%</x:v>
      </x:c>
    </x:row>
    <x:row r="10">
      <x:c r="A10" s="17" t="str">
        <x:v>NPV</x:v>
      </x:c>
      <x:c r="B10" s="20" t="n">
        <x:v>39.4</x:v>
      </x:c>
      <x:c r="C10" s="17" t="str">
        <x:v>USD mn</x:v>
      </x:c>
      <x:c r="D10" s="17" t="str">
        <x:v>Memo 39.0; deck 40</x:v>
      </x:c>
    </x:row>
    <x:row r="11">
      <x:c r="A11" s="17" t="str">
        <x:v>Minimum DSCR</x:v>
      </x:c>
      <x:c r="B11" s="20" t="n">
        <x:v>1.32</x:v>
      </x:c>
      <x:c r="C11" s="17" t="str">
        <x:v>x</x:v>
      </x:c>
      <x:c r="D11" s="17" t="str">
        <x:v>Deck 1.35x</x:v>
      </x:c>
    </x:row>
    <x:row r="12">
      <x:c r="A12" s="17" t="str">
        <x:v>COD</x:v>
      </x:c>
      <x:c r="B12" s="20" t="str">
        <x:v>30-Sep-2028</x:v>
      </x:c>
      <x:c r="C12" s="17" t="str">
        <x:v>date</x:v>
      </x:c>
      <x:c r="D12" s="17" t="str">
        <x:v>Deck 30-Jun-2028</x:v>
      </x:c>
    </x:row>
    <x:row r="13">
      <x:c r="A13" s="17" t="str">
        <x:v>Capacity factor</x:v>
      </x:c>
      <x:c r="B13" s="20" t="n">
        <x:v>24.7</x:v>
      </x:c>
      <x:c r="C13" s="17" t="str">
        <x:v>%</x:v>
      </x:c>
      <x:c r="D13" s="17" t="str">
        <x:v>Deck 25.5%; memo 24.9%</x:v>
      </x:c>
    </x:row>
    <x:row r="14">
      <x:c r="A14" s="17" t="str">
        <x:v>PPA price</x:v>
      </x:c>
      <x:c r="B14" s="20" t="n">
        <x:v>58</x:v>
      </x:c>
      <x:c r="C14" s="17" t="str">
        <x:v>USD/MWh</x:v>
      </x:c>
      <x:c r="D14" s="17" t="str">
        <x:v>Deck 60</x:v>
      </x:c>
    </x:row>
    <x:row r="16">
      <x:c r="A16" s="22" t="str">
        <x:v>Key deliberately planted control issues</x:v>
      </x:c>
    </x:row>
    <x:row r="17">
      <x:c r="A17" s="17" t="str">
        <x:v>1</x:v>
      </x:c>
      <x:c r="B17" s="17" t="str">
        <x:v>Metrics differ between the deck, memo and workbook.</x:v>
      </x:c>
    </x:row>
    <x:row r="18">
      <x:c r="A18" s="17" t="str">
        <x:v>2</x:v>
      </x:c>
      <x:c r="B18" s="17" t="str">
        <x:v>Independent merchant-price curve and offtaker credit support are missing.</x:v>
      </x:c>
    </x:row>
    <x:row r="19">
      <x:c r="A19" s="17" t="str">
        <x:v>3</x:v>
      </x:c>
      <x:c r="B19" s="17" t="str">
        <x:v>Combined downside and BESS augmentation sensitivities are absent from submitted documents.</x:v>
      </x:c>
    </x:row>
    <x:row r="20">
      <x:c r="A20" s="17" t="str">
        <x:v>4</x:v>
      </x:c>
      <x:c r="B20" s="17" t="str">
        <x:v>Potential duplicate advisory fees and high overhead/contingency are included in project costs.</x:v>
      </x:c>
    </x:row>
  </x:sheetData>
  <x:mergeCells>
    <x:mergeCell ref="A1:H1"/>
    <x:mergeCell ref="A2:H2"/>
    <x:mergeCell ref="A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38" hidden="0" customWidth="1"/>
  </x:cols>
  <x:sheetData>
    <x:row r="1" ht="28" customHeight="1">
      <x:c r="A1" s="25" t="str">
        <x:v>Assumptions and Reported Metrics</x:v>
      </x:c>
    </x:row>
    <x:row r="3" ht="30" customHeight="1">
      <x:c r="A3" s="29" t="str">
        <x:v>Section</x:v>
      </x:c>
      <x:c r="B3" s="29" t="str">
        <x:v>Metric</x:v>
      </x:c>
      <x:c r="C3" s="29" t="str">
        <x:v>Value</x:v>
      </x:c>
      <x:c r="D3" s="29" t="str">
        <x:v>Unit</x:v>
      </x:c>
      <x:c r="E3" s="29" t="str">
        <x:v>Input_Type</x:v>
      </x:c>
      <x:c r="F3" s="29" t="str">
        <x:v>Synthetic_Flag</x:v>
      </x:c>
      <x:c r="G3" s="29" t="str">
        <x:v>Notes</x:v>
      </x:c>
    </x:row>
    <x:row r="4">
      <x:c r="A4" s="17" t="str">
        <x:v>Project</x:v>
      </x:c>
      <x:c r="B4" s="17" t="str">
        <x:v>Transaction ID</x:v>
      </x:c>
      <x:c r="C4" s="17" t="str">
        <x:v>TXN_HELIOS_001</x:v>
      </x:c>
      <x:c r="D4" s="17" t="str"/>
      <x:c r="E4" s="17" t="str">
        <x:v>Hardcoded</x:v>
      </x:c>
      <x:c r="F4" s="17" t="str">
        <x:v>Yes</x:v>
      </x:c>
      <x:c r="G4" s="17" t="str">
        <x:v>Primary deal identifier</x:v>
      </x:c>
    </x:row>
    <x:row r="5">
      <x:c r="A5" s="17" t="str">
        <x:v>Project</x:v>
      </x:c>
      <x:c r="B5" s="17" t="str">
        <x:v>Country</x:v>
      </x:c>
      <x:c r="C5" s="17" t="str">
        <x:v>Thailand</x:v>
      </x:c>
      <x:c r="D5" s="17" t="str"/>
      <x:c r="E5" s="17" t="str">
        <x:v>Hardcoded</x:v>
      </x:c>
      <x:c r="F5" s="17" t="str">
        <x:v>Yes</x:v>
      </x:c>
      <x:c r="G5" s="17" t="str">
        <x:v>Illustrative</x:v>
      </x:c>
    </x:row>
    <x:row r="6">
      <x:c r="A6" s="17" t="str">
        <x:v>Project</x:v>
      </x:c>
      <x:c r="B6" s="17" t="str">
        <x:v>Solar capacity</x:v>
      </x:c>
      <x:c r="C6" s="17" t="str">
        <x:v>250</x:v>
      </x:c>
      <x:c r="D6" s="17" t="str">
        <x:v>MWac</x:v>
      </x:c>
      <x:c r="E6" s="17" t="str">
        <x:v>Hardcoded</x:v>
      </x:c>
      <x:c r="F6" s="17" t="str">
        <x:v>Yes</x:v>
      </x:c>
      <x:c r="G6" s="17" t="str">
        <x:v>Workbook source of truth</x:v>
      </x:c>
    </x:row>
    <x:row r="7">
      <x:c r="A7" s="17" t="str">
        <x:v>Project</x:v>
      </x:c>
      <x:c r="B7" s="17" t="str">
        <x:v>BESS power</x:v>
      </x:c>
      <x:c r="C7" s="17" t="str">
        <x:v>100</x:v>
      </x:c>
      <x:c r="D7" s="17" t="str">
        <x:v>MW</x:v>
      </x:c>
      <x:c r="E7" s="17" t="str">
        <x:v>Hardcoded</x:v>
      </x:c>
      <x:c r="F7" s="17" t="str">
        <x:v>Yes</x:v>
      </x:c>
      <x:c r="G7" s="17" t="str">
        <x:v>2-hour duration</x:v>
      </x:c>
    </x:row>
    <x:row r="8">
      <x:c r="A8" s="17" t="str">
        <x:v>Project</x:v>
      </x:c>
      <x:c r="B8" s="17" t="str">
        <x:v>BESS energy</x:v>
      </x:c>
      <x:c r="C8" s="17" t="str">
        <x:v>200</x:v>
      </x:c>
      <x:c r="D8" s="17" t="str">
        <x:v>MWh</x:v>
      </x:c>
      <x:c r="E8" s="17" t="str">
        <x:v>Hardcoded</x:v>
      </x:c>
      <x:c r="F8" s="17" t="str">
        <x:v>Yes</x:v>
      </x:c>
      <x:c r="G8" s="17" t="str">
        <x:v>2-hour duration</x:v>
      </x:c>
    </x:row>
    <x:row r="9">
      <x:c r="A9" s="17" t="str">
        <x:v>Schedule</x:v>
      </x:c>
      <x:c r="B9" s="17" t="str">
        <x:v>Commercial operation date</x:v>
      </x:c>
      <x:c r="C9" s="17" t="str">
        <x:v>2028-09-30</x:v>
      </x:c>
      <x:c r="D9" s="17" t="str">
        <x:v>date</x:v>
      </x:c>
      <x:c r="E9" s="17" t="str">
        <x:v>Hardcoded</x:v>
      </x:c>
      <x:c r="F9" s="17" t="str">
        <x:v>Yes</x:v>
      </x:c>
      <x:c r="G9" s="17" t="str">
        <x:v>Workbook source of truth; deck intentionally differs</x:v>
      </x:c>
    </x:row>
    <x:row r="10">
      <x:c r="A10" s="17" t="str">
        <x:v>Operating</x:v>
      </x:c>
      <x:c r="B10" s="17" t="str">
        <x:v>Capacity factor</x:v>
      </x:c>
      <x:c r="C10" s="17" t="str">
        <x:v>24.7</x:v>
      </x:c>
      <x:c r="D10" s="17" t="str">
        <x:v>%</x:v>
      </x:c>
      <x:c r="E10" s="17" t="str">
        <x:v>Hardcoded</x:v>
      </x:c>
      <x:c r="F10" s="17" t="str">
        <x:v>Yes</x:v>
      </x:c>
      <x:c r="G10" s="17" t="str">
        <x:v>Net capacity factor</x:v>
      </x:c>
    </x:row>
    <x:row r="11">
      <x:c r="A11" s="17" t="str">
        <x:v>Operating</x:v>
      </x:c>
      <x:c r="B11" s="17" t="str">
        <x:v>Availability</x:v>
      </x:c>
      <x:c r="C11" s="17" t="str">
        <x:v>98.5</x:v>
      </x:c>
      <x:c r="D11" s="17" t="str">
        <x:v>%</x:v>
      </x:c>
      <x:c r="E11" s="17" t="str">
        <x:v>Hardcoded</x:v>
      </x:c>
      <x:c r="F11" s="17" t="str">
        <x:v>Yes</x:v>
      </x:c>
      <x:c r="G11" s="17" t="str">
        <x:v>Excludes grid curtailment</x:v>
      </x:c>
    </x:row>
    <x:row r="12">
      <x:c r="A12" s="17" t="str">
        <x:v>Operating</x:v>
      </x:c>
      <x:c r="B12" s="17" t="str">
        <x:v>Curtailment</x:v>
      </x:c>
      <x:c r="C12" s="17" t="str">
        <x:v>2.5</x:v>
      </x:c>
      <x:c r="D12" s="17" t="str">
        <x:v>%</x:v>
      </x:c>
      <x:c r="E12" s="17" t="str">
        <x:v>Hardcoded</x:v>
      </x:c>
      <x:c r="F12" s="17" t="str">
        <x:v>Yes</x:v>
      </x:c>
      <x:c r="G12" s="17" t="str">
        <x:v>No severe downside sensitivity included</x:v>
      </x:c>
    </x:row>
    <x:row r="13">
      <x:c r="A13" s="17" t="str">
        <x:v>Revenue</x:v>
      </x:c>
      <x:c r="B13" s="17" t="str">
        <x:v>Contracted share</x:v>
      </x:c>
      <x:c r="C13" s="17" t="str">
        <x:v>70.0</x:v>
      </x:c>
      <x:c r="D13" s="17" t="str">
        <x:v>%</x:v>
      </x:c>
      <x:c r="E13" s="17" t="str">
        <x:v>Hardcoded</x:v>
      </x:c>
      <x:c r="F13" s="17" t="str">
        <x:v>Yes</x:v>
      </x:c>
      <x:c r="G13" s="17" t="str">
        <x:v>20-year synthetic PPA</x:v>
      </x:c>
    </x:row>
    <x:row r="14">
      <x:c r="A14" s="17" t="str">
        <x:v>Revenue</x:v>
      </x:c>
      <x:c r="B14" s="17" t="str">
        <x:v>Merchant share</x:v>
      </x:c>
      <x:c r="C14" s="17" t="str">
        <x:v>30.0</x:v>
      </x:c>
      <x:c r="D14" s="17" t="str">
        <x:v>%</x:v>
      </x:c>
      <x:c r="E14" s="17" t="str">
        <x:v>Hardcoded</x:v>
      </x:c>
      <x:c r="F14" s="17" t="str">
        <x:v>Yes</x:v>
      </x:c>
      <x:c r="G14" s="17" t="str">
        <x:v>Merchant curve source not appended</x:v>
      </x:c>
    </x:row>
    <x:row r="15">
      <x:c r="A15" s="17" t="str">
        <x:v>Revenue</x:v>
      </x:c>
      <x:c r="B15" s="17" t="str">
        <x:v>PPA price 2029</x:v>
      </x:c>
      <x:c r="C15" s="17" t="str">
        <x:v>58.0</x:v>
      </x:c>
      <x:c r="D15" s="17" t="str">
        <x:v>USD/MWh</x:v>
      </x:c>
      <x:c r="E15" s="17" t="str">
        <x:v>Hardcoded</x:v>
      </x:c>
      <x:c r="F15" s="17" t="str">
        <x:v>Yes</x:v>
      </x:c>
      <x:c r="G15" s="17" t="str">
        <x:v>Workbook source of truth; deck says 60</x:v>
      </x:c>
    </x:row>
    <x:row r="16">
      <x:c r="A16" s="17" t="str">
        <x:v>Revenue</x:v>
      </x:c>
      <x:c r="B16" s="17" t="str">
        <x:v>Merchant price 2029</x:v>
      </x:c>
      <x:c r="C16" s="17" t="str">
        <x:v>65.0</x:v>
      </x:c>
      <x:c r="D16" s="17" t="str">
        <x:v>USD/MWh</x:v>
      </x:c>
      <x:c r="E16" s="17" t="str">
        <x:v>Hardcoded</x:v>
      </x:c>
      <x:c r="F16" s="17" t="str">
        <x:v>Yes</x:v>
      </x:c>
      <x:c r="G16" s="17" t="str">
        <x:v>Illustrative internal curve</x:v>
      </x:c>
    </x:row>
    <x:row r="17">
      <x:c r="A17" s="17" t="str">
        <x:v>Cost</x:v>
      </x:c>
      <x:c r="B17" s="17" t="str">
        <x:v>Total project cost</x:v>
      </x:c>
      <x:c r="C17" s="17" t="str">
        <x:v>289.0</x:v>
      </x:c>
      <x:c r="D17" s="17" t="str">
        <x:v>USD mn</x:v>
      </x:c>
      <x:c r="E17" s="17" t="str">
        <x:v>Hardcoded</x:v>
      </x:c>
      <x:c r="F17" s="17" t="str">
        <x:v>Yes</x:v>
      </x:c>
      <x:c r="G17" s="17" t="str">
        <x:v>Workbook source of truth; deck/memo differ</x:v>
      </x:c>
    </x:row>
    <x:row r="18">
      <x:c r="A18" s="17" t="str">
        <x:v>Financing</x:v>
      </x:c>
      <x:c r="B18" s="17" t="str">
        <x:v>Debt share</x:v>
      </x:c>
      <x:c r="C18" s="17" t="str">
        <x:v>65.0</x:v>
      </x:c>
      <x:c r="D18" s="17" t="str">
        <x:v>%</x:v>
      </x:c>
      <x:c r="E18" s="17" t="str">
        <x:v>Hardcoded</x:v>
      </x:c>
      <x:c r="F18" s="17" t="str">
        <x:v>Yes</x:v>
      </x:c>
      <x:c r="G18" s="17" t="str">
        <x:v>Senior debt</x:v>
      </x:c>
    </x:row>
    <x:row r="19">
      <x:c r="A19" s="17" t="str">
        <x:v>Financing</x:v>
      </x:c>
      <x:c r="B19" s="17" t="str">
        <x:v>Interest rate</x:v>
      </x:c>
      <x:c r="C19" s="17" t="str">
        <x:v>6.4</x:v>
      </x:c>
      <x:c r="D19" s="17" t="str">
        <x:v>%</x:v>
      </x:c>
      <x:c r="E19" s="17" t="str">
        <x:v>Hardcoded</x:v>
      </x:c>
      <x:c r="F19" s="17" t="str">
        <x:v>Yes</x:v>
      </x:c>
      <x:c r="G19" s="17" t="str">
        <x:v>All-in nominal rate</x:v>
      </x:c>
    </x:row>
    <x:row r="20">
      <x:c r="A20" s="17" t="str">
        <x:v>Financing</x:v>
      </x:c>
      <x:c r="B20" s="17" t="str">
        <x:v>Debt tenor</x:v>
      </x:c>
      <x:c r="C20" s="17" t="str">
        <x:v>15</x:v>
      </x:c>
      <x:c r="D20" s="17" t="str">
        <x:v>years</x:v>
      </x:c>
      <x:c r="E20" s="17" t="str">
        <x:v>Hardcoded</x:v>
      </x:c>
      <x:c r="F20" s="17" t="str">
        <x:v>Yes</x:v>
      </x:c>
      <x:c r="G20" s="17" t="str">
        <x:v>Post-COD</x:v>
      </x:c>
    </x:row>
    <x:row r="21">
      <x:c r="A21" s="17" t="str">
        <x:v>Returns</x:v>
      </x:c>
      <x:c r="B21" s="17" t="str">
        <x:v>Project IRR</x:v>
      </x:c>
      <x:c r="C21" s="17" t="str">
        <x:v>10.1</x:v>
      </x:c>
      <x:c r="D21" s="17" t="str">
        <x:v>%</x:v>
      </x:c>
      <x:c r="E21" s="17" t="str">
        <x:v>Reported</x:v>
      </x:c>
      <x:c r="F21" s="17" t="str">
        <x:v>Yes</x:v>
      </x:c>
      <x:c r="G21" s="17" t="str">
        <x:v>Synthetic reported return</x:v>
      </x:c>
    </x:row>
    <x:row r="22">
      <x:c r="A22" s="17" t="str">
        <x:v>Returns</x:v>
      </x:c>
      <x:c r="B22" s="17" t="str">
        <x:v>Equity IRR</x:v>
      </x:c>
      <x:c r="C22" s="17" t="str">
        <x:v>13.9</x:v>
      </x:c>
      <x:c r="D22" s="17" t="str">
        <x:v>%</x:v>
      </x:c>
      <x:c r="E22" s="17" t="str">
        <x:v>Reported</x:v>
      </x:c>
      <x:c r="F22" s="17" t="str">
        <x:v>Yes</x:v>
      </x:c>
      <x:c r="G22" s="17" t="str">
        <x:v>Workbook source of truth; deck/memo differ</x:v>
      </x:c>
    </x:row>
    <x:row r="23">
      <x:c r="A23" s="17" t="str">
        <x:v>Returns</x:v>
      </x:c>
      <x:c r="B23" s="17" t="str">
        <x:v>NPV</x:v>
      </x:c>
      <x:c r="C23" s="17" t="str">
        <x:v>39.4</x:v>
      </x:c>
      <x:c r="D23" s="17" t="str">
        <x:v>USD mn</x:v>
      </x:c>
      <x:c r="E23" s="17" t="str">
        <x:v>Reported</x:v>
      </x:c>
      <x:c r="F23" s="17" t="str">
        <x:v>Yes</x:v>
      </x:c>
      <x:c r="G23" s="17" t="str">
        <x:v>At 9.0% discount rate</x:v>
      </x:c>
    </x:row>
    <x:row r="24">
      <x:c r="A24" s="17" t="str">
        <x:v>Returns</x:v>
      </x:c>
      <x:c r="B24" s="17" t="str">
        <x:v>Minimum DSCR</x:v>
      </x:c>
      <x:c r="C24" s="17" t="str">
        <x:v>1.32</x:v>
      </x:c>
      <x:c r="D24" s="17" t="str">
        <x:v>x</x:v>
      </x:c>
      <x:c r="E24" s="17" t="str">
        <x:v>Reported</x:v>
      </x:c>
      <x:c r="F24" s="17" t="str">
        <x:v>Yes</x:v>
      </x:c>
      <x:c r="G24" s="17" t="str">
        <x:v>Base case</x:v>
      </x:c>
    </x:row>
    <x:row r="25">
      <x:c r="A25" s="17" t="str">
        <x:v>Valuation</x:v>
      </x:c>
      <x:c r="B25" s="17" t="str">
        <x:v>EV / EBITDA</x:v>
      </x:c>
      <x:c r="C25" s="17" t="str">
        <x:v>9.3</x:v>
      </x:c>
      <x:c r="D25" s="17" t="str">
        <x:v>x</x:v>
      </x:c>
      <x:c r="E25" s="17" t="str">
        <x:v>Reported</x:v>
      </x:c>
      <x:c r="F25" s="17" t="str">
        <x:v>Yes</x:v>
      </x:c>
      <x:c r="G25" s="17" t="str">
        <x:v>Based on first full year EBITDA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aeb2dfeac8742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25" t="str">
        <x:v>Revenue and EBITDA Projection</x:v>
      </x:c>
    </x:row>
    <x:row r="3" ht="30" customHeight="1">
      <x:c r="A3" s="29" t="str">
        <x:v>Year</x:v>
      </x:c>
      <x:c r="B3" s="29" t="str">
        <x:v>Operating_Fraction</x:v>
      </x:c>
      <x:c r="C3" s="29" t="str">
        <x:v>Generation_MWh</x:v>
      </x:c>
      <x:c r="D3" s="29" t="str">
        <x:v>PPA_Price_USD_MWh</x:v>
      </x:c>
      <x:c r="E3" s="29" t="str">
        <x:v>Merchant_Price_USD_MWh</x:v>
      </x:c>
      <x:c r="F3" s="29" t="str">
        <x:v>Contracted_Revenue_USD_mn</x:v>
      </x:c>
      <x:c r="G3" s="29" t="str">
        <x:v>Merchant_Revenue_USD_mn</x:v>
      </x:c>
      <x:c r="H3" s="29" t="str">
        <x:v>BESS_Revenue_USD_mn</x:v>
      </x:c>
      <x:c r="I3" s="29" t="str">
        <x:v>Total_Revenue_USD_mn</x:v>
      </x:c>
      <x:c r="J3" s="29" t="str">
        <x:v>Operating_Cost_USD_mn</x:v>
      </x:c>
      <x:c r="K3" s="29" t="str">
        <x:v>EBITDA_USD_mn</x:v>
      </x:c>
    </x:row>
    <x:row r="4">
      <x:c r="A4" s="17" t="str">
        <x:v>2028</x:v>
      </x:c>
      <x:c r="B4" s="17" t="str">
        <x:v>0.25</x:v>
      </x:c>
      <x:c r="C4" s="17" t="str">
        <x:v>129874.0</x:v>
      </x:c>
      <x:c r="D4" s="17" t="str">
        <x:v>58.0</x:v>
      </x:c>
      <x:c r="E4" s="17" t="str">
        <x:v>65.0</x:v>
      </x:c>
      <x:c r="F4" s="17" t="str">
        <x:v>5.27</x:v>
      </x:c>
      <x:c r="G4" s="17" t="str">
        <x:v>2.53</x:v>
      </x:c>
      <x:c r="H4" s="17" t="str">
        <x:v>1.6</x:v>
      </x:c>
      <x:c r="I4" s="17" t="str">
        <x:v>9.41</x:v>
      </x:c>
      <x:c r="J4" s="17" t="str">
        <x:v>2.0</x:v>
      </x:c>
      <x:c r="K4" s="17" t="str">
        <x:v>7.41</x:v>
      </x:c>
    </x:row>
    <x:row r="5">
      <x:c r="A5" s="17" t="str">
        <x:v>2029</x:v>
      </x:c>
      <x:c r="B5" s="17" t="str">
        <x:v>1.0</x:v>
      </x:c>
      <x:c r="C5" s="17" t="str">
        <x:v>519496.0</x:v>
      </x:c>
      <x:c r="D5" s="17" t="str">
        <x:v>58.0</x:v>
      </x:c>
      <x:c r="E5" s="17" t="str">
        <x:v>65.0</x:v>
      </x:c>
      <x:c r="F5" s="17" t="str">
        <x:v>21.09</x:v>
      </x:c>
      <x:c r="G5" s="17" t="str">
        <x:v>10.13</x:v>
      </x:c>
      <x:c r="H5" s="17" t="str">
        <x:v>6.0</x:v>
      </x:c>
      <x:c r="I5" s="17" t="str">
        <x:v>37.22</x:v>
      </x:c>
      <x:c r="J5" s="17" t="str">
        <x:v>7.7</x:v>
      </x:c>
      <x:c r="K5" s="17" t="str">
        <x:v>29.52</x:v>
      </x:c>
    </x:row>
    <x:row r="6">
      <x:c r="A6" s="17" t="str">
        <x:v>2030</x:v>
      </x:c>
      <x:c r="B6" s="17" t="str">
        <x:v>1.0</x:v>
      </x:c>
      <x:c r="C6" s="17" t="str">
        <x:v>517158.0</x:v>
      </x:c>
      <x:c r="D6" s="17" t="str">
        <x:v>58.87</x:v>
      </x:c>
      <x:c r="E6" s="17" t="str">
        <x:v>66.3</x:v>
      </x:c>
      <x:c r="F6" s="17" t="str">
        <x:v>21.31</x:v>
      </x:c>
      <x:c r="G6" s="17" t="str">
        <x:v>10.29</x:v>
      </x:c>
      <x:c r="H6" s="17" t="str">
        <x:v>6.12</x:v>
      </x:c>
      <x:c r="I6" s="17" t="str">
        <x:v>37.72</x:v>
      </x:c>
      <x:c r="J6" s="17" t="str">
        <x:v>7.89</x:v>
      </x:c>
      <x:c r="K6" s="17" t="str">
        <x:v>29.83</x:v>
      </x:c>
    </x:row>
    <x:row r="7">
      <x:c r="A7" s="17" t="str">
        <x:v>2031</x:v>
      </x:c>
      <x:c r="B7" s="17" t="str">
        <x:v>1.0</x:v>
      </x:c>
      <x:c r="C7" s="17" t="str">
        <x:v>514831.0</x:v>
      </x:c>
      <x:c r="D7" s="17" t="str">
        <x:v>59.75</x:v>
      </x:c>
      <x:c r="E7" s="17" t="str">
        <x:v>67.63</x:v>
      </x:c>
      <x:c r="F7" s="17" t="str">
        <x:v>21.53</x:v>
      </x:c>
      <x:c r="G7" s="17" t="str">
        <x:v>10.44</x:v>
      </x:c>
      <x:c r="H7" s="17" t="str">
        <x:v>6.24</x:v>
      </x:c>
      <x:c r="I7" s="17" t="str">
        <x:v>38.22</x:v>
      </x:c>
      <x:c r="J7" s="17" t="str">
        <x:v>8.09</x:v>
      </x:c>
      <x:c r="K7" s="17" t="str">
        <x:v>30.13</x:v>
      </x:c>
    </x:row>
    <x:row r="8">
      <x:c r="A8" s="17" t="str">
        <x:v>2032</x:v>
      </x:c>
      <x:c r="B8" s="17" t="str">
        <x:v>1.0</x:v>
      </x:c>
      <x:c r="C8" s="17" t="str">
        <x:v>512514.0</x:v>
      </x:c>
      <x:c r="D8" s="17" t="str">
        <x:v>60.65</x:v>
      </x:c>
      <x:c r="E8" s="17" t="str">
        <x:v>68.98</x:v>
      </x:c>
      <x:c r="F8" s="17" t="str">
        <x:v>21.76</x:v>
      </x:c>
      <x:c r="G8" s="17" t="str">
        <x:v>10.61</x:v>
      </x:c>
      <x:c r="H8" s="17" t="str">
        <x:v>6.37</x:v>
      </x:c>
      <x:c r="I8" s="17" t="str">
        <x:v>38.73</x:v>
      </x:c>
      <x:c r="J8" s="17" t="str">
        <x:v>8.29</x:v>
      </x:c>
      <x:c r="K8" s="17" t="str">
        <x:v>30.44</x:v>
      </x:c>
    </x:row>
    <x:row r="9">
      <x:c r="A9" s="17" t="str">
        <x:v>2033</x:v>
      </x:c>
      <x:c r="B9" s="17" t="str">
        <x:v>1.0</x:v>
      </x:c>
      <x:c r="C9" s="17" t="str">
        <x:v>510208.0</x:v>
      </x:c>
      <x:c r="D9" s="17" t="str">
        <x:v>61.56</x:v>
      </x:c>
      <x:c r="E9" s="17" t="str">
        <x:v>70.36</x:v>
      </x:c>
      <x:c r="F9" s="17" t="str">
        <x:v>21.99</x:v>
      </x:c>
      <x:c r="G9" s="17" t="str">
        <x:v>10.77</x:v>
      </x:c>
      <x:c r="H9" s="17" t="str">
        <x:v>6.49</x:v>
      </x:c>
      <x:c r="I9" s="17" t="str">
        <x:v>39.25</x:v>
      </x:c>
      <x:c r="J9" s="17" t="str">
        <x:v>8.5</x:v>
      </x:c>
      <x:c r="K9" s="17" t="str">
        <x:v>30.75</x:v>
      </x:c>
    </x:row>
    <x:row r="10">
      <x:c r="A10" s="17" t="str">
        <x:v>2034</x:v>
      </x:c>
      <x:c r="B10" s="17" t="str">
        <x:v>1.0</x:v>
      </x:c>
      <x:c r="C10" s="17" t="str">
        <x:v>507912.0</x:v>
      </x:c>
      <x:c r="D10" s="17" t="str">
        <x:v>62.48</x:v>
      </x:c>
      <x:c r="E10" s="17" t="str">
        <x:v>71.77</x:v>
      </x:c>
      <x:c r="F10" s="17" t="str">
        <x:v>22.21</x:v>
      </x:c>
      <x:c r="G10" s="17" t="str">
        <x:v>10.94</x:v>
      </x:c>
      <x:c r="H10" s="17" t="str">
        <x:v>6.62</x:v>
      </x:c>
      <x:c r="I10" s="17" t="str">
        <x:v>39.77</x:v>
      </x:c>
      <x:c r="J10" s="17" t="str">
        <x:v>8.71</x:v>
      </x:c>
      <x:c r="K10" s="17" t="str">
        <x:v>31.06</x:v>
      </x:c>
    </x:row>
    <x:row r="11">
      <x:c r="A11" s="17" t="str">
        <x:v>2035</x:v>
      </x:c>
      <x:c r="B11" s="17" t="str">
        <x:v>1.0</x:v>
      </x:c>
      <x:c r="C11" s="17" t="str">
        <x:v>505626.0</x:v>
      </x:c>
      <x:c r="D11" s="17" t="str">
        <x:v>63.42</x:v>
      </x:c>
      <x:c r="E11" s="17" t="str">
        <x:v>73.2</x:v>
      </x:c>
      <x:c r="F11" s="17" t="str">
        <x:v>22.45</x:v>
      </x:c>
      <x:c r="G11" s="17" t="str">
        <x:v>11.1</x:v>
      </x:c>
      <x:c r="H11" s="17" t="str">
        <x:v>6.76</x:v>
      </x:c>
      <x:c r="I11" s="17" t="str">
        <x:v>40.31</x:v>
      </x:c>
      <x:c r="J11" s="17" t="str">
        <x:v>8.93</x:v>
      </x:c>
      <x:c r="K11" s="17" t="str">
        <x:v>31.38</x:v>
      </x:c>
    </x:row>
    <x:row r="12">
      <x:c r="A12" s="17" t="str">
        <x:v>2036</x:v>
      </x:c>
      <x:c r="B12" s="17" t="str">
        <x:v>1.0</x:v>
      </x:c>
      <x:c r="C12" s="17" t="str">
        <x:v>503351.0</x:v>
      </x:c>
      <x:c r="D12" s="17" t="str">
        <x:v>64.37</x:v>
      </x:c>
      <x:c r="E12" s="17" t="str">
        <x:v>74.66</x:v>
      </x:c>
      <x:c r="F12" s="17" t="str">
        <x:v>22.68</x:v>
      </x:c>
      <x:c r="G12" s="17" t="str">
        <x:v>11.27</x:v>
      </x:c>
      <x:c r="H12" s="17" t="str">
        <x:v>6.89</x:v>
      </x:c>
      <x:c r="I12" s="17" t="str">
        <x:v>40.85</x:v>
      </x:c>
      <x:c r="J12" s="17" t="str">
        <x:v>9.15</x:v>
      </x:c>
      <x:c r="K12" s="17" t="str">
        <x:v>31.69</x:v>
      </x:c>
    </x:row>
    <x:row r="13">
      <x:c r="A13" s="17" t="str">
        <x:v>2037</x:v>
      </x:c>
      <x:c r="B13" s="17" t="str">
        <x:v>1.0</x:v>
      </x:c>
      <x:c r="C13" s="17" t="str">
        <x:v>501086.0</x:v>
      </x:c>
      <x:c r="D13" s="17" t="str">
        <x:v>65.34</x:v>
      </x:c>
      <x:c r="E13" s="17" t="str">
        <x:v>76.16</x:v>
      </x:c>
      <x:c r="F13" s="17" t="str">
        <x:v>22.92</x:v>
      </x:c>
      <x:c r="G13" s="17" t="str">
        <x:v>11.45</x:v>
      </x:c>
      <x:c r="H13" s="17" t="str">
        <x:v>7.03</x:v>
      </x:c>
      <x:c r="I13" s="17" t="str">
        <x:v>41.4</x:v>
      </x:c>
      <x:c r="J13" s="17" t="str">
        <x:v>9.38</x:v>
      </x:c>
      <x:c r="K13" s="17" t="str">
        <x:v>32.01</x:v>
      </x:c>
    </x:row>
    <x:row r="14">
      <x:c r="A14" s="17" t="str">
        <x:v>2038</x:v>
      </x:c>
      <x:c r="B14" s="17" t="str">
        <x:v>1.0</x:v>
      </x:c>
      <x:c r="C14" s="17" t="str">
        <x:v>498831.0</x:v>
      </x:c>
      <x:c r="D14" s="17" t="str">
        <x:v>66.32</x:v>
      </x:c>
      <x:c r="E14" s="17" t="str">
        <x:v>77.68</x:v>
      </x:c>
      <x:c r="F14" s="17" t="str">
        <x:v>23.16</x:v>
      </x:c>
      <x:c r="G14" s="17" t="str">
        <x:v>11.62</x:v>
      </x:c>
      <x:c r="H14" s="17" t="str">
        <x:v>7.17</x:v>
      </x:c>
      <x:c r="I14" s="17" t="str">
        <x:v>41.95</x:v>
      </x:c>
      <x:c r="J14" s="17" t="str">
        <x:v>9.62</x:v>
      </x:c>
      <x:c r="K14" s="17" t="str">
        <x:v>32.34</x:v>
      </x:c>
    </x:row>
    <x:row r="15">
      <x:c r="A15" s="17" t="str">
        <x:v>2039</x:v>
      </x:c>
      <x:c r="B15" s="17" t="str">
        <x:v>1.0</x:v>
      </x:c>
      <x:c r="C15" s="17" t="str">
        <x:v>496586.0</x:v>
      </x:c>
      <x:c r="D15" s="17" t="str">
        <x:v>67.31</x:v>
      </x:c>
      <x:c r="E15" s="17" t="str">
        <x:v>79.23</x:v>
      </x:c>
      <x:c r="F15" s="17" t="str">
        <x:v>23.4</x:v>
      </x:c>
      <x:c r="G15" s="17" t="str">
        <x:v>11.8</x:v>
      </x:c>
      <x:c r="H15" s="17" t="str">
        <x:v>7.31</x:v>
      </x:c>
      <x:c r="I15" s="17" t="str">
        <x:v>42.52</x:v>
      </x:c>
      <x:c r="J15" s="17" t="str">
        <x:v>9.86</x:v>
      </x:c>
      <x:c r="K15" s="17" t="str">
        <x:v>32.66</x:v>
      </x:c>
    </x:row>
    <x:row r="16">
      <x:c r="A16" s="17" t="str">
        <x:v>2040</x:v>
      </x:c>
      <x:c r="B16" s="17" t="str">
        <x:v>1.0</x:v>
      </x:c>
      <x:c r="C16" s="17" t="str">
        <x:v>494351.0</x:v>
      </x:c>
      <x:c r="D16" s="17" t="str">
        <x:v>68.32</x:v>
      </x:c>
      <x:c r="E16" s="17" t="str">
        <x:v>80.82</x:v>
      </x:c>
      <x:c r="F16" s="17" t="str">
        <x:v>23.64</x:v>
      </x:c>
      <x:c r="G16" s="17" t="str">
        <x:v>11.99</x:v>
      </x:c>
      <x:c r="H16" s="17" t="str">
        <x:v>7.46</x:v>
      </x:c>
      <x:c r="I16" s="17" t="str">
        <x:v>43.09</x:v>
      </x:c>
      <x:c r="J16" s="17" t="str">
        <x:v>10.1</x:v>
      </x:c>
      <x:c r="K16" s="17" t="str">
        <x:v>32.99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6802f055c0a5459f"/>
  <x:tableParts count="1">
    <x:tablePart xmlns:r="http://schemas.openxmlformats.org/officeDocument/2006/relationships" r:id="R4d9acd42e2564f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16" hidden="0" customWidth="1"/>
  </x:cols>
  <x:sheetData>
    <x:row r="1" ht="28" customHeight="1">
      <x:c r="A1" s="25" t="str">
        <x:v>Project Cost Breakdown</x:v>
      </x:c>
    </x:row>
    <x:row r="3" ht="30" customHeight="1">
      <x:c r="A3" s="29" t="str">
        <x:v>Cost_Line_ID</x:v>
      </x:c>
      <x:c r="B3" s="29" t="str">
        <x:v>Cost_Category</x:v>
      </x:c>
      <x:c r="C3" s="29" t="str">
        <x:v>Description</x:v>
      </x:c>
      <x:c r="D3" s="29" t="str">
        <x:v>Cost_Group</x:v>
      </x:c>
      <x:c r="E3" s="29" t="str">
        <x:v>Amount_USD_mn</x:v>
      </x:c>
      <x:c r="F3" s="29" t="str">
        <x:v>Cost_per_MW_USD_mn</x:v>
      </x:c>
      <x:c r="G3" s="29" t="str">
        <x:v>Pct_of_Total</x:v>
      </x:c>
      <x:c r="H3" s="29" t="str">
        <x:v>Duplicate_Group_ID</x:v>
      </x:c>
      <x:c r="I3" s="29" t="str">
        <x:v>Potential_Duplicate</x:v>
      </x:c>
      <x:c r="J3" s="29" t="str">
        <x:v>Benchmark_Position</x:v>
      </x:c>
      <x:c r="K3" s="29" t="str">
        <x:v>Synthetic_Flag</x:v>
      </x:c>
    </x:row>
    <x:row r="4">
      <x:c r="A4" s="17" t="str">
        <x:v>HEL-C001</x:v>
      </x:c>
      <x:c r="B4" s="17" t="str">
        <x:v>Development &amp; permitting</x:v>
      </x:c>
      <x:c r="C4" s="17" t="str">
        <x:v>Development permits and studies</x:v>
      </x:c>
      <x:c r="D4" s="17" t="str">
        <x:v>Core</x:v>
      </x:c>
      <x:c r="E4" s="32" t="str">
        <x:v>8.0</x:v>
      </x:c>
      <x:c r="F4" s="32" t="str">
        <x:v>0.032</x:v>
      </x:c>
      <x:c r="G4" s="32" t="str">
        <x:v>2.77</x:v>
      </x:c>
      <x:c r="H4" s="17" t="str"/>
      <x:c r="I4" s="17" t="str">
        <x:v>No</x:v>
      </x:c>
      <x:c r="J4" s="17" t="str">
        <x:v>Reasonable</x:v>
      </x:c>
      <x:c r="K4" s="17" t="str">
        <x:v>Yes</x:v>
      </x:c>
    </x:row>
    <x:row r="5">
      <x:c r="A5" s="17" t="str">
        <x:v>HEL-C002</x:v>
      </x:c>
      <x:c r="B5" s="17" t="str">
        <x:v>Land</x:v>
      </x:c>
      <x:c r="C5" s="17" t="str">
        <x:v>Land lease prepayment and access rights</x:v>
      </x:c>
      <x:c r="D5" s="17" t="str">
        <x:v>Core</x:v>
      </x:c>
      <x:c r="E5" s="32" t="str">
        <x:v>7.5</x:v>
      </x:c>
      <x:c r="F5" s="32" t="str">
        <x:v>0.03</x:v>
      </x:c>
      <x:c r="G5" s="32" t="str">
        <x:v>2.6</x:v>
      </x:c>
      <x:c r="H5" s="17" t="str"/>
      <x:c r="I5" s="17" t="str">
        <x:v>No</x:v>
      </x:c>
      <x:c r="J5" s="17" t="str">
        <x:v>Reasonable</x:v>
      </x:c>
      <x:c r="K5" s="17" t="str">
        <x:v>Yes</x:v>
      </x:c>
    </x:row>
    <x:row r="6">
      <x:c r="A6" s="17" t="str">
        <x:v>HEL-C003</x:v>
      </x:c>
      <x:c r="B6" s="17" t="str">
        <x:v>PV modules</x:v>
      </x:c>
      <x:c r="C6" s="17" t="str">
        <x:v>PV modules supply</x:v>
      </x:c>
      <x:c r="D6" s="17" t="str">
        <x:v>EPC</x:v>
      </x:c>
      <x:c r="E6" s="32" t="str">
        <x:v>72.0</x:v>
      </x:c>
      <x:c r="F6" s="32" t="str">
        <x:v>0.288</x:v>
      </x:c>
      <x:c r="G6" s="32" t="str">
        <x:v>24.91</x:v>
      </x:c>
      <x:c r="H6" s="17" t="str"/>
      <x:c r="I6" s="17" t="str">
        <x:v>No</x:v>
      </x:c>
      <x:c r="J6" s="17" t="str">
        <x:v>Reasonable</x:v>
      </x:c>
      <x:c r="K6" s="17" t="str">
        <x:v>Yes</x:v>
      </x:c>
    </x:row>
    <x:row r="7">
      <x:c r="A7" s="17" t="str">
        <x:v>HEL-C004</x:v>
      </x:c>
      <x:c r="B7" s="17" t="str">
        <x:v>Inverters</x:v>
      </x:c>
      <x:c r="C7" s="17" t="str">
        <x:v>Inverters and transformers</x:v>
      </x:c>
      <x:c r="D7" s="17" t="str">
        <x:v>EPC</x:v>
      </x:c>
      <x:c r="E7" s="32" t="str">
        <x:v>17.0</x:v>
      </x:c>
      <x:c r="F7" s="32" t="str">
        <x:v>0.068</x:v>
      </x:c>
      <x:c r="G7" s="32" t="str">
        <x:v>5.88</x:v>
      </x:c>
      <x:c r="H7" s="17" t="str"/>
      <x:c r="I7" s="17" t="str">
        <x:v>No</x:v>
      </x:c>
      <x:c r="J7" s="17" t="str">
        <x:v>Reasonable</x:v>
      </x:c>
      <x:c r="K7" s="17" t="str">
        <x:v>Yes</x:v>
      </x:c>
    </x:row>
    <x:row r="8">
      <x:c r="A8" s="17" t="str">
        <x:v>HEL-C005</x:v>
      </x:c>
      <x:c r="B8" s="17" t="str">
        <x:v>Balance of plant</x:v>
      </x:c>
      <x:c r="C8" s="17" t="str">
        <x:v>Cabling, mounting and electrical BoP</x:v>
      </x:c>
      <x:c r="D8" s="17" t="str">
        <x:v>EPC</x:v>
      </x:c>
      <x:c r="E8" s="32" t="str">
        <x:v>40.0</x:v>
      </x:c>
      <x:c r="F8" s="32" t="str">
        <x:v>0.16</x:v>
      </x:c>
      <x:c r="G8" s="32" t="str">
        <x:v>13.84</x:v>
      </x:c>
      <x:c r="H8" s="17" t="str"/>
      <x:c r="I8" s="17" t="str">
        <x:v>No</x:v>
      </x:c>
      <x:c r="J8" s="17" t="str">
        <x:v>Reasonable</x:v>
      </x:c>
      <x:c r="K8" s="17" t="str">
        <x:v>Yes</x:v>
      </x:c>
    </x:row>
    <x:row r="9">
      <x:c r="A9" s="17" t="str">
        <x:v>HEL-C006</x:v>
      </x:c>
      <x:c r="B9" s="17" t="str">
        <x:v>BESS equipment</x:v>
      </x:c>
      <x:c r="C9" s="17" t="str">
        <x:v>Battery cells, PCS and EMS</x:v>
      </x:c>
      <x:c r="D9" s="17" t="str">
        <x:v>BESS</x:v>
      </x:c>
      <x:c r="E9" s="32" t="str">
        <x:v>52.0</x:v>
      </x:c>
      <x:c r="F9" s="32" t="str">
        <x:v>0.208</x:v>
      </x:c>
      <x:c r="G9" s="32" t="str">
        <x:v>17.99</x:v>
      </x:c>
      <x:c r="H9" s="17" t="str"/>
      <x:c r="I9" s="17" t="str">
        <x:v>No</x:v>
      </x:c>
      <x:c r="J9" s="17" t="str">
        <x:v>Upper quartile</x:v>
      </x:c>
      <x:c r="K9" s="17" t="str">
        <x:v>Yes</x:v>
      </x:c>
    </x:row>
    <x:row r="10">
      <x:c r="A10" s="17" t="str">
        <x:v>HEL-C007</x:v>
      </x:c>
      <x:c r="B10" s="17" t="str">
        <x:v>Grid interconnection</x:v>
      </x:c>
      <x:c r="C10" s="17" t="str">
        <x:v>Substation and grid connection works</x:v>
      </x:c>
      <x:c r="D10" s="17" t="str">
        <x:v>Grid</x:v>
      </x:c>
      <x:c r="E10" s="32" t="str">
        <x:v>25.0</x:v>
      </x:c>
      <x:c r="F10" s="32" t="str">
        <x:v>0.1</x:v>
      </x:c>
      <x:c r="G10" s="32" t="str">
        <x:v>8.65</x:v>
      </x:c>
      <x:c r="H10" s="17" t="str"/>
      <x:c r="I10" s="17" t="str">
        <x:v>No</x:v>
      </x:c>
      <x:c r="J10" s="17" t="str">
        <x:v>High</x:v>
      </x:c>
      <x:c r="K10" s="17" t="str">
        <x:v>Yes</x:v>
      </x:c>
    </x:row>
    <x:row r="11">
      <x:c r="A11" s="17" t="str">
        <x:v>HEL-C008</x:v>
      </x:c>
      <x:c r="B11" s="17" t="str">
        <x:v>Civil works</x:v>
      </x:c>
      <x:c r="C11" s="17" t="str">
        <x:v>Roads, drainage and foundations</x:v>
      </x:c>
      <x:c r="D11" s="17" t="str">
        <x:v>EPC</x:v>
      </x:c>
      <x:c r="E11" s="32" t="str">
        <x:v>13.0</x:v>
      </x:c>
      <x:c r="F11" s="32" t="str">
        <x:v>0.052</x:v>
      </x:c>
      <x:c r="G11" s="32" t="str">
        <x:v>4.5</x:v>
      </x:c>
      <x:c r="H11" s="17" t="str"/>
      <x:c r="I11" s="17" t="str">
        <x:v>No</x:v>
      </x:c>
      <x:c r="J11" s="17" t="str">
        <x:v>Reasonable</x:v>
      </x:c>
      <x:c r="K11" s="17" t="str">
        <x:v>Yes</x:v>
      </x:c>
    </x:row>
    <x:row r="12">
      <x:c r="A12" s="17" t="str">
        <x:v>HEL-C009</x:v>
      </x:c>
      <x:c r="B12" s="17" t="str">
        <x:v>Owner's engineer</x:v>
      </x:c>
      <x:c r="C12" s="17" t="str">
        <x:v>Owner's engineer</x:v>
      </x:c>
      <x:c r="D12" s="17" t="str">
        <x:v>Advisory</x:v>
      </x:c>
      <x:c r="E12" s="32" t="str">
        <x:v>3.0</x:v>
      </x:c>
      <x:c r="F12" s="32" t="str">
        <x:v>0.012</x:v>
      </x:c>
      <x:c r="G12" s="32" t="str">
        <x:v>1.04</x:v>
      </x:c>
      <x:c r="H12" s="17" t="str">
        <x:v>TECH_DUP_01</x:v>
      </x:c>
      <x:c r="I12" s="17" t="str">
        <x:v>Yes</x:v>
      </x:c>
      <x:c r="J12" s="17" t="str">
        <x:v>Potential overlap</x:v>
      </x:c>
      <x:c r="K12" s="17" t="str">
        <x:v>Yes</x:v>
      </x:c>
    </x:row>
    <x:row r="13">
      <x:c r="A13" s="17" t="str">
        <x:v>HEL-C010</x:v>
      </x:c>
      <x:c r="B13" s="17" t="str">
        <x:v>Technical advisory</x:v>
      </x:c>
      <x:c r="C13" s="17" t="str">
        <x:v>Lender and transaction technical adviser</x:v>
      </x:c>
      <x:c r="D13" s="17" t="str">
        <x:v>Advisory</x:v>
      </x:c>
      <x:c r="E13" s="32" t="str">
        <x:v>2.4</x:v>
      </x:c>
      <x:c r="F13" s="32" t="str">
        <x:v>0.0096</x:v>
      </x:c>
      <x:c r="G13" s="32" t="str">
        <x:v>0.83</x:v>
      </x:c>
      <x:c r="H13" s="17" t="str">
        <x:v>TECH_DUP_01</x:v>
      </x:c>
      <x:c r="I13" s="17" t="str">
        <x:v>Yes</x:v>
      </x:c>
      <x:c r="J13" s="17" t="str">
        <x:v>Potential overlap</x:v>
      </x:c>
      <x:c r="K13" s="17" t="str">
        <x:v>Yes</x:v>
      </x:c>
    </x:row>
    <x:row r="14">
      <x:c r="A14" s="17" t="str">
        <x:v>HEL-C011</x:v>
      </x:c>
      <x:c r="B14" s="17" t="str">
        <x:v>Construction insurance</x:v>
      </x:c>
      <x:c r="C14" s="17" t="str">
        <x:v>Construction all-risk and delay cover</x:v>
      </x:c>
      <x:c r="D14" s="17" t="str">
        <x:v>Insurance</x:v>
      </x:c>
      <x:c r="E14" s="32" t="str">
        <x:v>5.2</x:v>
      </x:c>
      <x:c r="F14" s="32" t="str">
        <x:v>0.0208</x:v>
      </x:c>
      <x:c r="G14" s="32" t="str">
        <x:v>1.8</x:v>
      </x:c>
      <x:c r="H14" s="17" t="str"/>
      <x:c r="I14" s="17" t="str">
        <x:v>No</x:v>
      </x:c>
      <x:c r="J14" s="17" t="str">
        <x:v>Reasonable</x:v>
      </x:c>
      <x:c r="K14" s="17" t="str">
        <x:v>Yes</x:v>
      </x:c>
    </x:row>
    <x:row r="15">
      <x:c r="A15" s="17" t="str">
        <x:v>HEL-C012</x:v>
      </x:c>
      <x:c r="B15" s="17" t="str">
        <x:v>Legal due diligence</x:v>
      </x:c>
      <x:c r="C15" s="17" t="str">
        <x:v>Legal due diligence fees</x:v>
      </x:c>
      <x:c r="D15" s="17" t="str">
        <x:v>Advisory</x:v>
      </x:c>
      <x:c r="E15" s="32" t="str">
        <x:v>2.2</x:v>
      </x:c>
      <x:c r="F15" s="32" t="str">
        <x:v>0.0088</x:v>
      </x:c>
      <x:c r="G15" s="32" t="str">
        <x:v>0.76</x:v>
      </x:c>
      <x:c r="H15" s="17" t="str">
        <x:v>LEGAL_DUP_01</x:v>
      </x:c>
      <x:c r="I15" s="17" t="str">
        <x:v>Yes</x:v>
      </x:c>
      <x:c r="J15" s="17" t="str">
        <x:v>Potential overlap</x:v>
      </x:c>
      <x:c r="K15" s="17" t="str">
        <x:v>Yes</x:v>
      </x:c>
    </x:row>
    <x:row r="16">
      <x:c r="A16" s="17" t="str">
        <x:v>HEL-C013</x:v>
      </x:c>
      <x:c r="B16" s="17" t="str">
        <x:v>Transaction legal advisory</x:v>
      </x:c>
      <x:c r="C16" s="17" t="str">
        <x:v>Transaction and financing legal fees</x:v>
      </x:c>
      <x:c r="D16" s="17" t="str">
        <x:v>Advisory</x:v>
      </x:c>
      <x:c r="E16" s="32" t="str">
        <x:v>1.7</x:v>
      </x:c>
      <x:c r="F16" s="32" t="str">
        <x:v>0.0068</x:v>
      </x:c>
      <x:c r="G16" s="32" t="str">
        <x:v>0.59</x:v>
      </x:c>
      <x:c r="H16" s="17" t="str">
        <x:v>LEGAL_DUP_01</x:v>
      </x:c>
      <x:c r="I16" s="17" t="str">
        <x:v>Yes</x:v>
      </x:c>
      <x:c r="J16" s="17" t="str">
        <x:v>Potential overlap</x:v>
      </x:c>
      <x:c r="K16" s="17" t="str">
        <x:v>Yes</x:v>
      </x:c>
    </x:row>
    <x:row r="17">
      <x:c r="A17" s="17" t="str">
        <x:v>HEL-C014</x:v>
      </x:c>
      <x:c r="B17" s="17" t="str">
        <x:v>Financing fees</x:v>
      </x:c>
      <x:c r="C17" s="17" t="str">
        <x:v>Arrangement, commitment and agency fees</x:v>
      </x:c>
      <x:c r="D17" s="17" t="str">
        <x:v>Financing</x:v>
      </x:c>
      <x:c r="E17" s="32" t="str">
        <x:v>5.5</x:v>
      </x:c>
      <x:c r="F17" s="32" t="str">
        <x:v>0.022</x:v>
      </x:c>
      <x:c r="G17" s="32" t="str">
        <x:v>1.9</x:v>
      </x:c>
      <x:c r="H17" s="17" t="str"/>
      <x:c r="I17" s="17" t="str">
        <x:v>No</x:v>
      </x:c>
      <x:c r="J17" s="17" t="str">
        <x:v>Reasonable</x:v>
      </x:c>
      <x:c r="K17" s="17" t="str">
        <x:v>Yes</x:v>
      </x:c>
    </x:row>
    <x:row r="18">
      <x:c r="A18" s="17" t="str">
        <x:v>HEL-C015</x:v>
      </x:c>
      <x:c r="B18" s="17" t="str">
        <x:v>EPC contingency</x:v>
      </x:c>
      <x:c r="C18" s="17" t="str">
        <x:v>Construction contingency</x:v>
      </x:c>
      <x:c r="D18" s="17" t="str">
        <x:v>Contingency</x:v>
      </x:c>
      <x:c r="E18" s="32" t="str">
        <x:v>18.0</x:v>
      </x:c>
      <x:c r="F18" s="32" t="str">
        <x:v>0.072</x:v>
      </x:c>
      <x:c r="G18" s="32" t="str">
        <x:v>6.23</x:v>
      </x:c>
      <x:c r="H18" s="17" t="str"/>
      <x:c r="I18" s="17" t="str">
        <x:v>No</x:v>
      </x:c>
      <x:c r="J18" s="17" t="str">
        <x:v>High</x:v>
      </x:c>
      <x:c r="K18" s="17" t="str">
        <x:v>Yes</x:v>
      </x:c>
    </x:row>
    <x:row r="19">
      <x:c r="A19" s="17" t="str">
        <x:v>HEL-C016</x:v>
      </x:c>
      <x:c r="B19" s="17" t="str">
        <x:v>O&amp;M mobilisation</x:v>
      </x:c>
      <x:c r="C19" s="17" t="str">
        <x:v>Spares, mobilisation and training</x:v>
      </x:c>
      <x:c r="D19" s="17" t="str">
        <x:v>Operations</x:v>
      </x:c>
      <x:c r="E19" s="32" t="str">
        <x:v>4.5</x:v>
      </x:c>
      <x:c r="F19" s="32" t="str">
        <x:v>0.018</x:v>
      </x:c>
      <x:c r="G19" s="32" t="str">
        <x:v>1.56</x:v>
      </x:c>
      <x:c r="H19" s="17" t="str"/>
      <x:c r="I19" s="17" t="str">
        <x:v>No</x:v>
      </x:c>
      <x:c r="J19" s="17" t="str">
        <x:v>Reasonable</x:v>
      </x:c>
      <x:c r="K19" s="17" t="str">
        <x:v>Yes</x:v>
      </x:c>
    </x:row>
    <x:row r="20">
      <x:c r="A20" s="17" t="str">
        <x:v>HEL-C017</x:v>
      </x:c>
      <x:c r="B20" s="17" t="str">
        <x:v>Corporate/platform overhead</x:v>
      </x:c>
      <x:c r="C20" s="17" t="str">
        <x:v>Allocated platform and transaction overhead</x:v>
      </x:c>
      <x:c r="D20" s="17" t="str">
        <x:v>Overhead</x:v>
      </x:c>
      <x:c r="E20" s="32" t="str">
        <x:v>12.0</x:v>
      </x:c>
      <x:c r="F20" s="32" t="str">
        <x:v>0.048</x:v>
      </x:c>
      <x:c r="G20" s="32" t="str">
        <x:v>4.15</x:v>
      </x:c>
      <x:c r="H20" s="17" t="str"/>
      <x:c r="I20" s="17" t="str">
        <x:v>No</x:v>
      </x:c>
      <x:c r="J20" s="17" t="str">
        <x:v>High</x:v>
      </x:c>
      <x:c r="K20" s="17" t="str">
        <x:v>Yes</x:v>
      </x:c>
    </x:row>
  </x:sheetData>
  <x:mergeCells>
    <x:mergeCell ref="A1:K1"/>
  </x:mergeCells>
  <x:conditionalFormatting sqref="I4:I20">
    <x:cfRule type="expression" dxfId="0" priority="1">
      <x:formula>I4="Yes"</x:formula>
    </x:cfRule>
  </x:conditionalFormatting>
  <x:conditionalFormatting sqref="J4:J20">
    <x:cfRule type="expression" dxfId="1" priority="2">
      <x:formula>OR(J4="High",J4="Upper quartile",J4="Potential overlap")</x:formula>
    </x:cfRule>
  </x:conditionalFormatting>
  <x:pageMargins left="0.7" right="0.7" top="0.75" bottom="0.75" header="0.3" footer="0.3"/>
  <x:drawing xmlns:r="http://schemas.openxmlformats.org/officeDocument/2006/relationships" r:id="R2058fa486e154727"/>
  <x:tableParts count="1">
    <x:tablePart xmlns:r="http://schemas.openxmlformats.org/officeDocument/2006/relationships" r:id="R4a4693b46a3646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25" t="str">
        <x:v>Sensitivity Cases</x:v>
      </x:c>
    </x:row>
    <x:row r="3" ht="30" customHeight="1">
      <x:c r="A3" s="29" t="str">
        <x:v>Scenario</x:v>
      </x:c>
      <x:c r="B3" s="29" t="str">
        <x:v>Power_Price_Change_pct</x:v>
      </x:c>
      <x:c r="C3" s="29" t="str">
        <x:v>Generation_Change_pct</x:v>
      </x:c>
      <x:c r="D3" s="29" t="str">
        <x:v>Capex_Change_pct</x:v>
      </x:c>
      <x:c r="E3" s="29" t="str">
        <x:v>COD_Delay_Months</x:v>
      </x:c>
      <x:c r="F3" s="29" t="str">
        <x:v>FX_Change_pct</x:v>
      </x:c>
      <x:c r="G3" s="29" t="str">
        <x:v>Equity_IRR_pct</x:v>
      </x:c>
      <x:c r="H3" s="29" t="str">
        <x:v>Min_DSCR_x</x:v>
      </x:c>
      <x:c r="I3" s="29" t="str">
        <x:v>Included_In_Submission</x:v>
      </x:c>
    </x:row>
    <x:row r="4">
      <x:c r="A4" s="17" t="str">
        <x:v>Base Case</x:v>
      </x:c>
      <x:c r="B4" s="17" t="str">
        <x:v>0</x:v>
      </x:c>
      <x:c r="C4" s="17" t="str">
        <x:v>0</x:v>
      </x:c>
      <x:c r="D4" s="17" t="str">
        <x:v>0</x:v>
      </x:c>
      <x:c r="E4" s="17" t="str">
        <x:v>0</x:v>
      </x:c>
      <x:c r="F4" s="17" t="str">
        <x:v>0</x:v>
      </x:c>
      <x:c r="G4" s="17" t="str">
        <x:v>13.9</x:v>
      </x:c>
      <x:c r="H4" s="17" t="str">
        <x:v>1.32</x:v>
      </x:c>
      <x:c r="I4" s="17" t="str">
        <x:v>Yes</x:v>
      </x:c>
    </x:row>
    <x:row r="5">
      <x:c r="A5" s="17" t="str">
        <x:v>Merchant price -15%</x:v>
      </x:c>
      <x:c r="B5" s="17" t="str">
        <x:v>-15</x:v>
      </x:c>
      <x:c r="C5" s="17" t="str">
        <x:v>0</x:v>
      </x:c>
      <x:c r="D5" s="17" t="str">
        <x:v>0</x:v>
      </x:c>
      <x:c r="E5" s="17" t="str">
        <x:v>0</x:v>
      </x:c>
      <x:c r="F5" s="17" t="str">
        <x:v>0</x:v>
      </x:c>
      <x:c r="G5" s="17" t="str">
        <x:v>12.2</x:v>
      </x:c>
      <x:c r="H5" s="17" t="str">
        <x:v>1.24</x:v>
      </x:c>
      <x:c r="I5" s="17" t="str">
        <x:v>Yes</x:v>
      </x:c>
    </x:row>
    <x:row r="6">
      <x:c r="A6" s="17" t="str">
        <x:v>Generation -5%</x:v>
      </x:c>
      <x:c r="B6" s="17" t="str">
        <x:v>0</x:v>
      </x:c>
      <x:c r="C6" s="17" t="str">
        <x:v>-5</x:v>
      </x:c>
      <x:c r="D6" s="17" t="str">
        <x:v>0</x:v>
      </x:c>
      <x:c r="E6" s="17" t="str">
        <x:v>0</x:v>
      </x:c>
      <x:c r="F6" s="17" t="str">
        <x:v>0</x:v>
      </x:c>
      <x:c r="G6" s="17" t="str">
        <x:v>12.6</x:v>
      </x:c>
      <x:c r="H6" s="17" t="str">
        <x:v>1.21</x:v>
      </x:c>
      <x:c r="I6" s="17" t="str">
        <x:v>Yes</x:v>
      </x:c>
    </x:row>
    <x:row r="7">
      <x:c r="A7" s="17" t="str">
        <x:v>Capex +10%</x:v>
      </x:c>
      <x:c r="B7" s="17" t="str">
        <x:v>0</x:v>
      </x:c>
      <x:c r="C7" s="17" t="str">
        <x:v>0</x:v>
      </x:c>
      <x:c r="D7" s="17" t="str">
        <x:v>10</x:v>
      </x:c>
      <x:c r="E7" s="17" t="str">
        <x:v>0</x:v>
      </x:c>
      <x:c r="F7" s="17" t="str">
        <x:v>0</x:v>
      </x:c>
      <x:c r="G7" s="17" t="str">
        <x:v>11.8</x:v>
      </x:c>
      <x:c r="H7" s="17" t="str">
        <x:v>1.3</x:v>
      </x:c>
      <x:c r="I7" s="17" t="str">
        <x:v>Yes</x:v>
      </x:c>
    </x:row>
    <x:row r="8">
      <x:c r="A8" s="17" t="str">
        <x:v>COD delay 6 months</x:v>
      </x:c>
      <x:c r="B8" s="17" t="str">
        <x:v>0</x:v>
      </x:c>
      <x:c r="C8" s="17" t="str">
        <x:v>0</x:v>
      </x:c>
      <x:c r="D8" s="17" t="str">
        <x:v>0</x:v>
      </x:c>
      <x:c r="E8" s="17" t="str">
        <x:v>6</x:v>
      </x:c>
      <x:c r="F8" s="17" t="str">
        <x:v>0</x:v>
      </x:c>
      <x:c r="G8" s="17" t="str">
        <x:v>11.9</x:v>
      </x:c>
      <x:c r="H8" s="17" t="str">
        <x:v>1.28</x:v>
      </x:c>
      <x:c r="I8" s="17" t="str">
        <x:v>Yes</x:v>
      </x:c>
    </x:row>
    <x:row r="9">
      <x:c r="A9" s="17" t="str">
        <x:v>FX depreciation 10%</x:v>
      </x:c>
      <x:c r="B9" s="17" t="str">
        <x:v>0</x:v>
      </x:c>
      <x:c r="C9" s="17" t="str">
        <x:v>0</x:v>
      </x:c>
      <x:c r="D9" s="17" t="str">
        <x:v>0</x:v>
      </x:c>
      <x:c r="E9" s="17" t="str">
        <x:v>0</x:v>
      </x:c>
      <x:c r="F9" s="17" t="str">
        <x:v>-10</x:v>
      </x:c>
      <x:c r="G9" s="17" t="str">
        <x:v>12.7</x:v>
      </x:c>
      <x:c r="H9" s="17" t="str">
        <x:v>1.27</x:v>
      </x:c>
      <x:c r="I9" s="17" t="str">
        <x:v>Yes</x:v>
      </x:c>
    </x:row>
    <x:row r="10">
      <x:c r="A10" s="17" t="str">
        <x:v>Combined downside</x:v>
      </x:c>
      <x:c r="B10" s="17" t="str">
        <x:v>-15</x:v>
      </x:c>
      <x:c r="C10" s="17" t="str">
        <x:v>-5</x:v>
      </x:c>
      <x:c r="D10" s="17" t="str">
        <x:v>10</x:v>
      </x:c>
      <x:c r="E10" s="17" t="str">
        <x:v>6</x:v>
      </x:c>
      <x:c r="F10" s="17" t="str">
        <x:v>-10</x:v>
      </x:c>
      <x:c r="G10" s="17" t="str">
        <x:v>8.5</x:v>
      </x:c>
      <x:c r="H10" s="17" t="str">
        <x:v>1.08</x:v>
      </x:c>
      <x:c r="I10" s="17" t="str">
        <x:v>No</x:v>
      </x:c>
    </x:row>
    <x:row r="11">
      <x:c r="A11" s="17" t="str">
        <x:v>BESS degradation / augmentation</x:v>
      </x:c>
      <x:c r="B11" s="17" t="str">
        <x:v>0</x:v>
      </x:c>
      <x:c r="C11" s="17" t="str">
        <x:v>0</x:v>
      </x:c>
      <x:c r="D11" s="17" t="str">
        <x:v>4</x:v>
      </x:c>
      <x:c r="E11" s="17" t="str">
        <x:v>0</x:v>
      </x:c>
      <x:c r="F11" s="17" t="str">
        <x:v>0</x:v>
      </x:c>
      <x:c r="G11" s="17" t="str">
        <x:v>12.8</x:v>
      </x:c>
      <x:c r="H11" s="17" t="str">
        <x:v>1.26</x:v>
      </x:c>
      <x:c r="I11" s="17" t="str">
        <x:v>No</x:v>
      </x:c>
    </x:row>
  </x:sheetData>
  <x:mergeCells>
    <x:mergeCell ref="A1:I1"/>
  </x:mergeCells>
  <x:conditionalFormatting sqref="I4:I11">
    <x:cfRule type="expression" dxfId="2" priority="1">
      <x:formula>I4="No"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34f078b4db498c"/>
  </x:tableParts>
</x:worksheet>
</file>